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Allocation_Targets" sheetId="3" state="visible" r:id="rId5"/>
    <sheet name="Holdings" sheetId="4" state="visible" r:id="rId6"/>
    <sheet name="Weekly_Log" sheetId="5" state="visible" r:id="rId7"/>
    <sheet name="Watch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<sst xmlns="http://schemas.openxmlformats.org/spreadsheetml/2006/main" count="146" uniqueCount="119">
  <si>
    <t xml:space="preserve">Income Portfolio Dashboard</t>
  </si>
  <si>
    <t xml:space="preserve">Generated: 2026-03-30 | Goal: $2,000/month</t>
  </si>
  <si>
    <t xml:space="preserve">Portfolio Health Metrics</t>
  </si>
  <si>
    <t xml:space="preserve">Metric</t>
  </si>
  <si>
    <t xml:space="preserve">Value</t>
  </si>
  <si>
    <t xml:space="preserve">Portfolio Value (invested)</t>
  </si>
  <si>
    <t xml:space="preserve">Portfolio Value (incl. cash)</t>
  </si>
  <si>
    <t xml:space="preserve">Cash</t>
  </si>
  <si>
    <t xml:space="preserve">Monthly Income</t>
  </si>
  <si>
    <t xml:space="preserve">Annual Income</t>
  </si>
  <si>
    <t xml:space="preserve">Portfolio Yield</t>
  </si>
  <si>
    <t xml:space="preserve">Monthly Goal</t>
  </si>
  <si>
    <t xml:space="preserve">Monthly Gap</t>
  </si>
  <si>
    <t xml:space="preserve">Income Achievement</t>
  </si>
  <si>
    <t xml:space="preserve">Allocation &amp; Drift</t>
  </si>
  <si>
    <t xml:space="preserve">Bucket</t>
  </si>
  <si>
    <t xml:space="preserve">Actual %</t>
  </si>
  <si>
    <t xml:space="preserve">Target %</t>
  </si>
  <si>
    <t xml:space="preserve">Drift</t>
  </si>
  <si>
    <t xml:space="preserve">Status</t>
  </si>
  <si>
    <t xml:space="preserve">Income Core</t>
  </si>
  <si>
    <t xml:space="preserve">High-Yield Stability</t>
  </si>
  <si>
    <t xml:space="preserve">Income Anchors</t>
  </si>
  <si>
    <t xml:space="preserve">Growth</t>
  </si>
  <si>
    <t xml:space="preserve">Income Progress &amp; Time-to-Goal</t>
  </si>
  <si>
    <t xml:space="preserve">Scenario</t>
  </si>
  <si>
    <t xml:space="preserve">Monthly Savings</t>
  </si>
  <si>
    <t xml:space="preserve">Annual Deploy</t>
  </si>
  <si>
    <t xml:space="preserve">Years (current yield)</t>
  </si>
  <si>
    <t xml:space="preserve">Years (8% yield)</t>
  </si>
  <si>
    <t xml:space="preserve">Low</t>
  </si>
  <si>
    <t xml:space="preserve">Mid</t>
  </si>
  <si>
    <t xml:space="preserve">High</t>
  </si>
  <si>
    <t xml:space="preserve">Aggressive</t>
  </si>
  <si>
    <t xml:space="preserve">Income Concentration</t>
  </si>
  <si>
    <t xml:space="preserve">Top 1 Income Contributor %</t>
  </si>
  <si>
    <t xml:space="preserve">Top 3 Income Concentration %</t>
  </si>
  <si>
    <t xml:space="preserve">Number of Positions</t>
  </si>
  <si>
    <t xml:space="preserve">Macro &amp; Market Signals</t>
  </si>
  <si>
    <t xml:space="preserve">Signal</t>
  </si>
  <si>
    <t xml:space="preserve">Implication</t>
  </si>
  <si>
    <t xml:space="preserve">2yr Treasury</t>
  </si>
  <si>
    <t xml:space="preserve">Rate cut expectations</t>
  </si>
  <si>
    <t xml:space="preserve">10yr Treasury</t>
  </si>
  <si>
    <t xml:space="preserve">Duration / yield curve</t>
  </si>
  <si>
    <t xml:space="preserve">VIX</t>
  </si>
  <si>
    <t xml:space="preserve">Volatility regime</t>
  </si>
  <si>
    <t xml:space="preserve">HY OAS</t>
  </si>
  <si>
    <t xml:space="preserve">Credit spread health</t>
  </si>
  <si>
    <t xml:space="preserve">Income Portfolio Tracker — Settings</t>
  </si>
  <si>
    <t xml:space="preserve">Parameter</t>
  </si>
  <si>
    <t xml:space="preserve">Notes</t>
  </si>
  <si>
    <t xml:space="preserve">Monthly Income Goal</t>
  </si>
  <si>
    <t xml:space="preserve">Target passive income per month</t>
  </si>
  <si>
    <t xml:space="preserve">Annual Income Goal</t>
  </si>
  <si>
    <t xml:space="preserve">Calculated from monthly</t>
  </si>
  <si>
    <t xml:space="preserve">Portfolio Currency</t>
  </si>
  <si>
    <t xml:space="preserve">USD</t>
  </si>
  <si>
    <t xml:space="preserve">Risk-Free Rate</t>
  </si>
  <si>
    <t xml:space="preserve">10yr Treasury yield — update weekly</t>
  </si>
  <si>
    <t xml:space="preserve">VIX Level</t>
  </si>
  <si>
    <t xml:space="preserve">CBOE VIX — update weekly</t>
  </si>
  <si>
    <t xml:space="preserve">Fed H.15 — update weekly</t>
  </si>
  <si>
    <t xml:space="preserve">ICE BofA HY OAS — update weekly</t>
  </si>
  <si>
    <t xml:space="preserve">Cash Reserve Min</t>
  </si>
  <si>
    <t xml:space="preserve">Minimum cash to keep in money market</t>
  </si>
  <si>
    <t xml:space="preserve">Report Start Date</t>
  </si>
  <si>
    <t xml:space="preserve">First report date</t>
  </si>
  <si>
    <t xml:space="preserve">Owner</t>
  </si>
  <si>
    <t xml:space="preserve">Shawn</t>
  </si>
  <si>
    <t xml:space="preserve">Strategy Bucket Allocation Targets</t>
  </si>
  <si>
    <t xml:space="preserve">Description</t>
  </si>
  <si>
    <t xml:space="preserve">Yield Range</t>
  </si>
  <si>
    <t xml:space="preserve">Income Type</t>
  </si>
  <si>
    <t xml:space="preserve">Example Tickers</t>
  </si>
  <si>
    <t xml:space="preserve">Options-income &amp; preferred ETFs</t>
  </si>
  <si>
    <t xml:space="preserve">7-13%</t>
  </si>
  <si>
    <t xml:space="preserve">Variable + Stable</t>
  </si>
  <si>
    <t xml:space="preserve">JEPI, JEPQ, PFF, SPYI</t>
  </si>
  <si>
    <t xml:space="preserve">BDCs, REITs, high-yield dividend</t>
  </si>
  <si>
    <t xml:space="preserve">6-14%</t>
  </si>
  <si>
    <t xml:space="preserve">Stable + Variable</t>
  </si>
  <si>
    <t xml:space="preserve">ARCC, MAIN, O, MO, HTGC</t>
  </si>
  <si>
    <t xml:space="preserve">Broad dividend ETFs, blue chips</t>
  </si>
  <si>
    <t xml:space="preserve">2-4%</t>
  </si>
  <si>
    <t xml:space="preserve">Stable</t>
  </si>
  <si>
    <t xml:space="preserve">SCHD, VYM, HDV, XOM</t>
  </si>
  <si>
    <t xml:space="preserve">Growth with small dividend</t>
  </si>
  <si>
    <t xml:space="preserve">0-2%</t>
  </si>
  <si>
    <t xml:space="preserve">Cyclical</t>
  </si>
  <si>
    <t xml:space="preserve">AAPL, MSFT, QQQ</t>
  </si>
  <si>
    <t xml:space="preserve">TOTAL</t>
  </si>
  <si>
    <t xml:space="preserve">Portfolio Holdings</t>
  </si>
  <si>
    <t xml:space="preserve">Blue cells = manual input | Black cells = formulas | Update prices &amp; yields weekly</t>
  </si>
  <si>
    <t xml:space="preserve">Ticker</t>
  </si>
  <si>
    <t xml:space="preserve">Name</t>
  </si>
  <si>
    <t xml:space="preserve">Shares</t>
  </si>
  <si>
    <t xml:space="preserve">Avg Cost</t>
  </si>
  <si>
    <t xml:space="preserve">Current Price</t>
  </si>
  <si>
    <t xml:space="preserve">Market Value</t>
  </si>
  <si>
    <t xml:space="preserve">Cost Basis</t>
  </si>
  <si>
    <t xml:space="preserve">Unrealized G/L</t>
  </si>
  <si>
    <t xml:space="preserve">G/L %</t>
  </si>
  <si>
    <t xml:space="preserve">Annual Yield %</t>
  </si>
  <si>
    <t xml:space="preserve">% of Portfolio</t>
  </si>
  <si>
    <t xml:space="preserve">SWVXX</t>
  </si>
  <si>
    <t xml:space="preserve">Schwab Money Market</t>
  </si>
  <si>
    <t xml:space="preserve">Weekly Snapshot Log</t>
  </si>
  <si>
    <t xml:space="preserve">Add a row each week to track trends over time</t>
  </si>
  <si>
    <t xml:space="preserve">Date</t>
  </si>
  <si>
    <t xml:space="preserve">Portfolio Value</t>
  </si>
  <si>
    <t xml:space="preserve">Yield %</t>
  </si>
  <si>
    <t xml:space="preserve">Income Core %</t>
  </si>
  <si>
    <t xml:space="preserve">HY Stability %</t>
  </si>
  <si>
    <t xml:space="preserve">Anchors %</t>
  </si>
  <si>
    <t xml:space="preserve">Growth %</t>
  </si>
  <si>
    <t xml:space="preserve">Watchlist &amp; Research</t>
  </si>
  <si>
    <t xml:space="preserve">Price</t>
  </si>
  <si>
    <t xml:space="preserve">Action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</si>
</sst>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\$#,##0.00"/>
    <numFmt numFmtId="167" formatCode="0.00%"/>
    <numFmt numFmtId="168" formatCode="\$#,##0.00;&quot;($&quot;#,##0.00\);\-"/>
    <numFmt numFmtId="169" formatCode="0.0%"/>
    <numFmt numFmtId="170" formatCode="\+0.0%;\-0.0%;\-"/>
    <numFmt numFmtId="171" formatCode="0.0"/>
    <numFmt numFmtId="172" formatCode="0"/>
    <numFmt numFmtId="173" formatCode="yyyy\-mm\-dd\ h:mm:ss"/>
    <numFmt numFmtId="174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3D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2A3D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1B2A3D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CCFFFF"/>
      </patternFill>
    </fill>
    <fill>
      <patternFill patternType="solid">
        <fgColor rgb="FFFFFDE7"/>
        <bgColor rgb="FFFFFFFF"/>
      </patternFill>
    </fill>
    <fill>
      <patternFill patternType="solid">
        <fgColor rgb="FFD5DBDB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DE7"/>
      <rgbColor rgb="FFE3F2FD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C00"/>
      <rgbColor rgb="FFF39C12"/>
      <rgbColor rgb="FFE74C3C"/>
      <rgbColor rgb="FF9B59B6"/>
      <rgbColor rgb="FF969696"/>
      <rgbColor rgb="FF1B2A3D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Holdings!G26-Holdings!G25</f>
        <v>0</v>
      </c>
    </row>
    <row r="7" customFormat="false" ht="15" hidden="false" customHeight="false" outlineLevel="0" collapsed="false">
      <c r="A7" s="5" t="s">
        <v>6</v>
      </c>
      <c r="B7" s="6" t="n">
        <f aca="false">Holdings!G26</f>
        <v>0</v>
      </c>
    </row>
    <row r="8" customFormat="false" ht="15" hidden="false" customHeight="false" outlineLevel="0" collapsed="false">
      <c r="A8" s="5" t="s">
        <v>7</v>
      </c>
      <c r="B8" s="6" t="n">
        <f aca="false">Holdings!G25</f>
        <v>0</v>
      </c>
    </row>
    <row r="9" customFormat="false" ht="15" hidden="false" customHeight="false" outlineLevel="0" collapsed="false">
      <c r="A9" s="5" t="s">
        <v>8</v>
      </c>
      <c r="B9" s="7" t="n">
        <f aca="false">Holdings!M26</f>
        <v>0</v>
      </c>
    </row>
    <row r="10" customFormat="false" ht="15" hidden="false" customHeight="false" outlineLevel="0" collapsed="false">
      <c r="A10" s="5" t="s">
        <v>9</v>
      </c>
      <c r="B10" s="7" t="n">
        <f aca="false">Holdings!L26</f>
        <v>0</v>
      </c>
    </row>
    <row r="11" customFormat="false" ht="15" hidden="false" customHeight="false" outlineLevel="0" collapsed="false">
      <c r="A11" s="5" t="s">
        <v>10</v>
      </c>
      <c r="B11" s="8" t="n">
        <f aca="false">IF(B6=0,0,B10/B6)</f>
        <v>0</v>
      </c>
    </row>
    <row r="12" customFormat="false" ht="15" hidden="false" customHeight="false" outlineLevel="0" collapsed="false">
      <c r="A12" s="5" t="s">
        <v>11</v>
      </c>
      <c r="B12" s="6" t="n">
        <f aca="false">Settings!B4</f>
        <v>2000</v>
      </c>
    </row>
    <row r="13" customFormat="false" ht="15" hidden="false" customHeight="false" outlineLevel="0" collapsed="false">
      <c r="A13" s="5" t="s">
        <v>12</v>
      </c>
      <c r="B13" s="9" t="n">
        <f aca="false">B12-B9</f>
        <v>2000</v>
      </c>
    </row>
    <row r="14" customFormat="false" ht="15" hidden="false" customHeight="false" outlineLevel="0" collapsed="false">
      <c r="A14" s="5" t="s">
        <v>13</v>
      </c>
      <c r="B14" s="10" t="n">
        <f aca="false">IF(B12=0,0,B9/B12)</f>
        <v>0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19</v>
      </c>
    </row>
    <row r="19" customFormat="false" ht="15" hidden="false" customHeight="false" outlineLevel="0" collapsed="false">
      <c r="A19" s="11" t="s">
        <v>20</v>
      </c>
      <c r="B19" s="12" t="n">
        <f aca="false">IF(B$6=0,0,SUMPRODUCT((Holdings!C$5:C$24=A19)*Holdings!G$5:G$24)/B$6)</f>
        <v>0</v>
      </c>
      <c r="C19" s="12" t="n">
        <f aca="false">Allocation_Targets!B4</f>
        <v>0.4</v>
      </c>
      <c r="D19" s="13" t="n">
        <f aca="false">B19-C19</f>
        <v>-0.4</v>
      </c>
      <c r="E19" s="14" t="str">
        <f aca="false">IF(ABS(D19)&lt;=0.03,"Within tolerance",IF(ABS(D19)&lt;=0.07,IF(D19&gt;0,"OVERWEIGHT","UNDERWEIGHT"),IF(D19&gt;0,"SEVERELY OVERWEIGHT","SEVERELY UNDERWEIGHT")))</f>
        <v>SEVERELY UNDERWEIGHT</v>
      </c>
    </row>
    <row r="20" customFormat="false" ht="15" hidden="false" customHeight="false" outlineLevel="0" collapsed="false">
      <c r="A20" s="11" t="s">
        <v>21</v>
      </c>
      <c r="B20" s="12" t="n">
        <f aca="false">IF(B$6=0,0,SUMPRODUCT((Holdings!C$5:C$24=A20)*Holdings!G$5:G$24)/B$6)</f>
        <v>0</v>
      </c>
      <c r="C20" s="12" t="n">
        <f aca="false">Allocation_Targets!B5</f>
        <v>0.3</v>
      </c>
      <c r="D20" s="13" t="n">
        <f aca="false">B20-C20</f>
        <v>-0.3</v>
      </c>
      <c r="E20" s="14" t="str">
        <f aca="false">IF(ABS(D20)&lt;=0.03,"Within tolerance",IF(ABS(D20)&lt;=0.07,IF(D20&gt;0,"OVERWEIGHT","UNDERWEIGHT"),IF(D20&gt;0,"SEVERELY OVERWEIGHT","SEVERELY UNDERWEIGHT")))</f>
        <v>SEVERELY UNDERWEIGHT</v>
      </c>
    </row>
    <row r="21" customFormat="false" ht="15" hidden="false" customHeight="false" outlineLevel="0" collapsed="false">
      <c r="A21" s="11" t="s">
        <v>22</v>
      </c>
      <c r="B21" s="12" t="n">
        <f aca="false">IF(B$6=0,0,SUMPRODUCT((Holdings!C$5:C$24=A21)*Holdings!G$5:G$24)/B$6)</f>
        <v>0</v>
      </c>
      <c r="C21" s="12" t="n">
        <f aca="false">Allocation_Targets!B6</f>
        <v>0.2</v>
      </c>
      <c r="D21" s="13" t="n">
        <f aca="false">B21-C21</f>
        <v>-0.2</v>
      </c>
      <c r="E21" s="14" t="str">
        <f aca="false">IF(ABS(D21)&lt;=0.03,"Within tolerance",IF(ABS(D21)&lt;=0.07,IF(D21&gt;0,"OVERWEIGHT","UNDERWEIGHT"),IF(D21&gt;0,"SEVERELY OVERWEIGHT","SEVERELY UNDERWEIGHT")))</f>
        <v>SEVERELY UNDERWEIGHT</v>
      </c>
    </row>
    <row r="22" customFormat="false" ht="15" hidden="false" customHeight="false" outlineLevel="0" collapsed="false">
      <c r="A22" s="11" t="s">
        <v>23</v>
      </c>
      <c r="B22" s="12" t="n">
        <f aca="false">IF(B$6=0,0,SUMPRODUCT((Holdings!C$5:C$24=A22)*Holdings!G$5:G$24)/B$6)</f>
        <v>0</v>
      </c>
      <c r="C22" s="12" t="n">
        <f aca="false">Allocation_Targets!B7</f>
        <v>0.1</v>
      </c>
      <c r="D22" s="13" t="n">
        <f aca="false">B22-C22</f>
        <v>-0.1</v>
      </c>
      <c r="E22" s="14" t="str">
        <f aca="false">IF(ABS(D22)&lt;=0.03,"Within tolerance",IF(ABS(D22)&lt;=0.07,IF(D22&gt;0,"OVERWEIGHT","UNDERWEIGHT"),IF(D22&gt;0,"SEVERELY OVERWEIGHT","SEVERELY UNDERWEIGHT")))</f>
        <v>SEVERELY UNDERWEIGHT</v>
      </c>
    </row>
    <row r="25" customFormat="false" ht="15" hidden="false" customHeight="false" outlineLevel="0" collapsed="false">
      <c r="A25" s="3" t="s">
        <v>24</v>
      </c>
    </row>
    <row r="26" customFormat="false" ht="15" hidden="false" customHeight="false" outlineLevel="0" collapsed="false">
      <c r="A26" s="4" t="s">
        <v>25</v>
      </c>
      <c r="B26" s="4" t="s">
        <v>26</v>
      </c>
      <c r="C26" s="4" t="s">
        <v>27</v>
      </c>
      <c r="D26" s="4" t="s">
        <v>28</v>
      </c>
      <c r="E26" s="4" t="s">
        <v>29</v>
      </c>
    </row>
    <row r="27" customFormat="false" ht="15" hidden="false" customHeight="false" outlineLevel="0" collapsed="false">
      <c r="A27" s="11" t="s">
        <v>30</v>
      </c>
      <c r="B27" s="15" t="n">
        <v>1500</v>
      </c>
      <c r="C27" s="16" t="n">
        <f aca="false">B27*12*0.6</f>
        <v>10800</v>
      </c>
      <c r="D27" s="17" t="str">
        <f aca="false">IF(B$11=0,"N/A",IF(C27=0,"N/A",(((Settings!B5)/B$11)-B$6)/C27))</f>
        <v>N/A</v>
      </c>
      <c r="E27" s="17" t="n">
        <f aca="false">IF(C27=0,"N/A",((Settings!B5/0.08)-B$6)/C27)</f>
        <v>27.7777777777778</v>
      </c>
    </row>
    <row r="28" customFormat="false" ht="15" hidden="false" customHeight="false" outlineLevel="0" collapsed="false">
      <c r="A28" s="11" t="s">
        <v>31</v>
      </c>
      <c r="B28" s="15" t="n">
        <v>2000</v>
      </c>
      <c r="C28" s="16" t="n">
        <f aca="false">B28*12*0.7</f>
        <v>16800</v>
      </c>
      <c r="D28" s="17" t="str">
        <f aca="false">IF(B$11=0,"N/A",IF(C28=0,"N/A",(((Settings!B5)/B$11)-B$6)/C28))</f>
        <v>N/A</v>
      </c>
      <c r="E28" s="17" t="n">
        <f aca="false">IF(C28=0,"N/A",((Settings!B5/0.08)-B$6)/C28)</f>
        <v>17.8571428571429</v>
      </c>
    </row>
    <row r="29" customFormat="false" ht="15" hidden="false" customHeight="false" outlineLevel="0" collapsed="false">
      <c r="A29" s="11" t="s">
        <v>32</v>
      </c>
      <c r="B29" s="15" t="n">
        <v>2500</v>
      </c>
      <c r="C29" s="16" t="n">
        <f aca="false">B29*12*0.75</f>
        <v>22500</v>
      </c>
      <c r="D29" s="17" t="str">
        <f aca="false">IF(B$11=0,"N/A",IF(C29=0,"N/A",(((Settings!B5)/B$11)-B$6)/C29))</f>
        <v>N/A</v>
      </c>
      <c r="E29" s="17" t="n">
        <f aca="false">IF(C29=0,"N/A",((Settings!B5/0.08)-B$6)/C29)</f>
        <v>13.3333333333333</v>
      </c>
    </row>
    <row r="30" customFormat="false" ht="15" hidden="false" customHeight="false" outlineLevel="0" collapsed="false">
      <c r="A30" s="11" t="s">
        <v>33</v>
      </c>
      <c r="B30" s="15" t="n">
        <v>3000</v>
      </c>
      <c r="C30" s="16" t="n">
        <f aca="false">B30*12*0.8</f>
        <v>28800</v>
      </c>
      <c r="D30" s="17" t="str">
        <f aca="false">IF(B$11=0,"N/A",IF(C30=0,"N/A",(((Settings!B5)/B$11)-B$6)/C30))</f>
        <v>N/A</v>
      </c>
      <c r="E30" s="17" t="n">
        <f aca="false">IF(C30=0,"N/A",((Settings!B5/0.08)-B$6)/C30)</f>
        <v>10.4166666666667</v>
      </c>
    </row>
    <row r="33" customFormat="false" ht="15" hidden="false" customHeight="false" outlineLevel="0" collapsed="false">
      <c r="A33" s="3" t="s">
        <v>34</v>
      </c>
    </row>
    <row r="34" customFormat="false" ht="15" hidden="false" customHeight="false" outlineLevel="0" collapsed="false">
      <c r="A34" s="4" t="s">
        <v>3</v>
      </c>
      <c r="B34" s="4" t="s">
        <v>4</v>
      </c>
    </row>
    <row r="35" customFormat="false" ht="15" hidden="false" customHeight="false" outlineLevel="0" collapsed="false">
      <c r="A35" s="5" t="s">
        <v>35</v>
      </c>
      <c r="B35" s="10" t="n">
        <f aca="false">IF(B9=0,0,LARGE(Holdings!L5:L24,1)/B9)</f>
        <v>0</v>
      </c>
    </row>
    <row r="36" customFormat="false" ht="15" hidden="false" customHeight="false" outlineLevel="0" collapsed="false">
      <c r="A36" s="5" t="s">
        <v>36</v>
      </c>
      <c r="B36" s="10" t="n">
        <f aca="false">IF(B9=0,0,(LARGE(Holdings!L5:L24,1)+LARGE(Holdings!L5:L24,2)+LARGE(Holdings!L5:L24,3))/B9)</f>
        <v>0</v>
      </c>
    </row>
    <row r="37" customFormat="false" ht="15" hidden="false" customHeight="false" outlineLevel="0" collapsed="false">
      <c r="A37" s="5" t="s">
        <v>37</v>
      </c>
      <c r="B37" s="18" t="n">
        <f aca="false">COUNTA(Holdings!A5:A24)</f>
        <v>0</v>
      </c>
    </row>
    <row r="40" customFormat="false" ht="15" hidden="false" customHeight="false" outlineLevel="0" collapsed="false">
      <c r="A40" s="3" t="s">
        <v>38</v>
      </c>
    </row>
    <row r="41" customFormat="false" ht="15" hidden="false" customHeight="false" outlineLevel="0" collapsed="false">
      <c r="A41" s="4" t="s">
        <v>39</v>
      </c>
      <c r="B41" s="4" t="s">
        <v>4</v>
      </c>
      <c r="C41" s="4" t="s">
        <v>40</v>
      </c>
    </row>
    <row r="42" customFormat="false" ht="15" hidden="false" customHeight="false" outlineLevel="0" collapsed="false">
      <c r="A42" s="11" t="s">
        <v>41</v>
      </c>
      <c r="B42" s="19" t="n">
        <f aca="false">Settings!B9</f>
        <v>0.0396</v>
      </c>
      <c r="C42" s="20" t="s">
        <v>42</v>
      </c>
    </row>
    <row r="43" customFormat="false" ht="15" hidden="false" customHeight="false" outlineLevel="0" collapsed="false">
      <c r="A43" s="11" t="s">
        <v>43</v>
      </c>
      <c r="B43" s="19" t="n">
        <f aca="false">Settings!B10</f>
        <v>0.0441</v>
      </c>
      <c r="C43" s="20" t="s">
        <v>44</v>
      </c>
    </row>
    <row r="44" customFormat="false" ht="15" hidden="false" customHeight="false" outlineLevel="0" collapsed="false">
      <c r="A44" s="11" t="s">
        <v>45</v>
      </c>
      <c r="B44" s="21" t="n">
        <f aca="false">Settings!B8</f>
        <v>31</v>
      </c>
      <c r="C44" s="20" t="s">
        <v>46</v>
      </c>
    </row>
    <row r="45" customFormat="false" ht="15" hidden="false" customHeight="false" outlineLevel="0" collapsed="false">
      <c r="A45" s="11" t="s">
        <v>47</v>
      </c>
      <c r="B45" s="19" t="n">
        <f aca="false">Settings!B11</f>
        <v>0.0317</v>
      </c>
      <c r="C45" s="20" t="s">
        <v>48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</row>
    <row r="3" customFormat="false" ht="15" hidden="false" customHeight="false" outlineLevel="0" collapsed="false">
      <c r="A3" s="4" t="s">
        <v>50</v>
      </c>
      <c r="B3" s="4" t="s">
        <v>4</v>
      </c>
      <c r="C3" s="4" t="s">
        <v>51</v>
      </c>
    </row>
    <row r="4" customFormat="false" ht="15" hidden="false" customHeight="false" outlineLevel="0" collapsed="false">
      <c r="A4" s="5" t="s">
        <v>52</v>
      </c>
      <c r="B4" s="6" t="n">
        <v>2000</v>
      </c>
      <c r="C4" s="22" t="s">
        <v>53</v>
      </c>
    </row>
    <row r="5" customFormat="false" ht="15" hidden="false" customHeight="false" outlineLevel="0" collapsed="false">
      <c r="A5" s="5" t="s">
        <v>54</v>
      </c>
      <c r="B5" s="6" t="n">
        <f aca="false">B4*12</f>
        <v>24000</v>
      </c>
      <c r="C5" s="22" t="s">
        <v>55</v>
      </c>
    </row>
    <row r="6" customFormat="false" ht="15" hidden="false" customHeight="false" outlineLevel="0" collapsed="false">
      <c r="A6" s="5" t="s">
        <v>56</v>
      </c>
      <c r="B6" s="22" t="s">
        <v>57</v>
      </c>
      <c r="C6" s="22"/>
    </row>
    <row r="7" customFormat="false" ht="15" hidden="false" customHeight="false" outlineLevel="0" collapsed="false">
      <c r="A7" s="5" t="s">
        <v>58</v>
      </c>
      <c r="B7" s="8" t="n">
        <v>0.0441</v>
      </c>
      <c r="C7" s="22" t="s">
        <v>59</v>
      </c>
    </row>
    <row r="8" customFormat="false" ht="15" hidden="false" customHeight="false" outlineLevel="0" collapsed="false">
      <c r="A8" s="5" t="s">
        <v>60</v>
      </c>
      <c r="B8" s="22" t="n">
        <v>31</v>
      </c>
      <c r="C8" s="22" t="s">
        <v>61</v>
      </c>
    </row>
    <row r="9" customFormat="false" ht="15" hidden="false" customHeight="false" outlineLevel="0" collapsed="false">
      <c r="A9" s="5" t="s">
        <v>41</v>
      </c>
      <c r="B9" s="8" t="n">
        <v>0.0396</v>
      </c>
      <c r="C9" s="22" t="s">
        <v>62</v>
      </c>
    </row>
    <row r="10" customFormat="false" ht="15" hidden="false" customHeight="false" outlineLevel="0" collapsed="false">
      <c r="A10" s="5" t="s">
        <v>43</v>
      </c>
      <c r="B10" s="8" t="n">
        <v>0.0441</v>
      </c>
      <c r="C10" s="22" t="s">
        <v>62</v>
      </c>
    </row>
    <row r="11" customFormat="false" ht="15" hidden="false" customHeight="false" outlineLevel="0" collapsed="false">
      <c r="A11" s="5" t="s">
        <v>47</v>
      </c>
      <c r="B11" s="8" t="n">
        <v>0.0317</v>
      </c>
      <c r="C11" s="22" t="s">
        <v>63</v>
      </c>
    </row>
    <row r="12" customFormat="false" ht="15" hidden="false" customHeight="false" outlineLevel="0" collapsed="false">
      <c r="A12" s="5" t="s">
        <v>64</v>
      </c>
      <c r="B12" s="6" t="n">
        <v>1500</v>
      </c>
      <c r="C12" s="22" t="s">
        <v>65</v>
      </c>
    </row>
    <row r="13" customFormat="false" ht="15" hidden="false" customHeight="false" outlineLevel="0" collapsed="false">
      <c r="A13" s="5" t="s">
        <v>66</v>
      </c>
      <c r="B13" s="23" t="n">
        <v>46111</v>
      </c>
      <c r="C13" s="22" t="s">
        <v>67</v>
      </c>
    </row>
    <row r="14" customFormat="false" ht="15" hidden="false" customHeight="false" outlineLevel="0" collapsed="false">
      <c r="A14" s="5" t="s">
        <v>68</v>
      </c>
      <c r="B14" s="22" t="s">
        <v>69</v>
      </c>
      <c r="C14" s="2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70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15</v>
      </c>
      <c r="B3" s="4" t="s">
        <v>17</v>
      </c>
      <c r="C3" s="4" t="s">
        <v>71</v>
      </c>
      <c r="D3" s="4" t="s">
        <v>72</v>
      </c>
      <c r="E3" s="4" t="s">
        <v>73</v>
      </c>
      <c r="F3" s="4" t="s">
        <v>74</v>
      </c>
    </row>
    <row r="4" customFormat="false" ht="15" hidden="false" customHeight="false" outlineLevel="0" collapsed="false">
      <c r="A4" s="5" t="s">
        <v>20</v>
      </c>
      <c r="B4" s="24" t="n">
        <v>0.4</v>
      </c>
      <c r="C4" s="5" t="s">
        <v>75</v>
      </c>
      <c r="D4" s="5" t="s">
        <v>76</v>
      </c>
      <c r="E4" s="5" t="s">
        <v>77</v>
      </c>
      <c r="F4" s="5" t="s">
        <v>78</v>
      </c>
    </row>
    <row r="5" customFormat="false" ht="15" hidden="false" customHeight="false" outlineLevel="0" collapsed="false">
      <c r="A5" s="5" t="s">
        <v>21</v>
      </c>
      <c r="B5" s="24" t="n">
        <v>0.3</v>
      </c>
      <c r="C5" s="5" t="s">
        <v>79</v>
      </c>
      <c r="D5" s="5" t="s">
        <v>80</v>
      </c>
      <c r="E5" s="5" t="s">
        <v>81</v>
      </c>
      <c r="F5" s="5" t="s">
        <v>82</v>
      </c>
    </row>
    <row r="6" customFormat="false" ht="15" hidden="false" customHeight="false" outlineLevel="0" collapsed="false">
      <c r="A6" s="5" t="s">
        <v>22</v>
      </c>
      <c r="B6" s="24" t="n">
        <v>0.2</v>
      </c>
      <c r="C6" s="5" t="s">
        <v>83</v>
      </c>
      <c r="D6" s="5" t="s">
        <v>84</v>
      </c>
      <c r="E6" s="5" t="s">
        <v>85</v>
      </c>
      <c r="F6" s="5" t="s">
        <v>86</v>
      </c>
    </row>
    <row r="7" customFormat="false" ht="15" hidden="false" customHeight="false" outlineLevel="0" collapsed="false">
      <c r="A7" s="5" t="s">
        <v>23</v>
      </c>
      <c r="B7" s="24" t="n">
        <v>0.1</v>
      </c>
      <c r="C7" s="5" t="s">
        <v>87</v>
      </c>
      <c r="D7" s="5" t="s">
        <v>88</v>
      </c>
      <c r="E7" s="5" t="s">
        <v>89</v>
      </c>
      <c r="F7" s="5" t="s">
        <v>90</v>
      </c>
    </row>
    <row r="8" customFormat="false" ht="15" hidden="false" customHeight="false" outlineLevel="0" collapsed="false">
      <c r="A8" s="25" t="s">
        <v>91</v>
      </c>
      <c r="B8" s="26" t="n">
        <f aca="false">SUM(B4:B7)</f>
        <v>1</v>
      </c>
      <c r="C8" s="27"/>
      <c r="D8" s="27"/>
      <c r="E8" s="27"/>
      <c r="F8" s="2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4" t="s">
        <v>94</v>
      </c>
      <c r="B4" s="4" t="s">
        <v>95</v>
      </c>
      <c r="C4" s="4" t="s">
        <v>15</v>
      </c>
      <c r="D4" s="4" t="s">
        <v>96</v>
      </c>
      <c r="E4" s="4" t="s">
        <v>97</v>
      </c>
      <c r="F4" s="4" t="s">
        <v>98</v>
      </c>
      <c r="G4" s="4" t="s">
        <v>99</v>
      </c>
      <c r="H4" s="4" t="s">
        <v>100</v>
      </c>
      <c r="I4" s="4" t="s">
        <v>101</v>
      </c>
      <c r="J4" s="4" t="s">
        <v>102</v>
      </c>
      <c r="K4" s="4" t="s">
        <v>103</v>
      </c>
      <c r="L4" s="4" t="s">
        <v>9</v>
      </c>
      <c r="M4" s="4" t="s">
        <v>8</v>
      </c>
      <c r="N4" s="4" t="s">
        <v>104</v>
      </c>
    </row>
    <row r="5" customFormat="false" ht="15" hidden="false" customHeight="false" outlineLevel="0" collapsed="false">
      <c r="A5" s="28"/>
      <c r="B5" s="28"/>
      <c r="C5" s="28"/>
      <c r="D5" s="28"/>
      <c r="E5" s="29"/>
      <c r="F5" s="29"/>
      <c r="G5" s="30" t="str">
        <f aca="false">IF(D5="","",D5*F5)</f>
        <v/>
      </c>
      <c r="H5" s="30" t="str">
        <f aca="false">IF(D5="","",D5*E5)</f>
        <v/>
      </c>
      <c r="I5" s="31" t="str">
        <f aca="false">IF(G5="","",G5-H5)</f>
        <v/>
      </c>
      <c r="J5" s="32" t="str">
        <f aca="false">IF(H5="","",IF(H5=0,0,I5/H5))</f>
        <v/>
      </c>
      <c r="K5" s="33"/>
      <c r="L5" s="30" t="str">
        <f aca="false">IF(G5="","",G5*K5)</f>
        <v/>
      </c>
      <c r="M5" s="30" t="str">
        <f aca="false">IF(L5="","",L5/12)</f>
        <v/>
      </c>
      <c r="N5" s="32" t="str">
        <f aca="false">IF(G5="","",IF(G$26=0,0,G5/G$26))</f>
        <v/>
      </c>
    </row>
    <row r="6" customFormat="false" ht="15" hidden="false" customHeight="false" outlineLevel="0" collapsed="false">
      <c r="A6" s="28"/>
      <c r="B6" s="28"/>
      <c r="C6" s="28"/>
      <c r="D6" s="28"/>
      <c r="E6" s="29"/>
      <c r="F6" s="29"/>
      <c r="G6" s="30" t="str">
        <f aca="false">IF(D6="","",D6*F6)</f>
        <v/>
      </c>
      <c r="H6" s="30" t="str">
        <f aca="false">IF(D6="","",D6*E6)</f>
        <v/>
      </c>
      <c r="I6" s="31" t="str">
        <f aca="false">IF(G6="","",G6-H6)</f>
        <v/>
      </c>
      <c r="J6" s="32" t="str">
        <f aca="false">IF(H6="","",IF(H6=0,0,I6/H6))</f>
        <v/>
      </c>
      <c r="K6" s="33"/>
      <c r="L6" s="30" t="str">
        <f aca="false">IF(G6="","",G6*K6)</f>
        <v/>
      </c>
      <c r="M6" s="30" t="str">
        <f aca="false">IF(L6="","",L6/12)</f>
        <v/>
      </c>
      <c r="N6" s="32" t="str">
        <f aca="false">IF(G6="","",IF(G$26=0,0,G6/G$26))</f>
        <v/>
      </c>
    </row>
    <row r="7" customFormat="false" ht="15" hidden="false" customHeight="false" outlineLevel="0" collapsed="false">
      <c r="A7" s="28"/>
      <c r="B7" s="28"/>
      <c r="C7" s="28"/>
      <c r="D7" s="28"/>
      <c r="E7" s="29"/>
      <c r="F7" s="29"/>
      <c r="G7" s="30" t="str">
        <f aca="false">IF(D7="","",D7*F7)</f>
        <v/>
      </c>
      <c r="H7" s="30" t="str">
        <f aca="false">IF(D7="","",D7*E7)</f>
        <v/>
      </c>
      <c r="I7" s="31" t="str">
        <f aca="false">IF(G7="","",G7-H7)</f>
        <v/>
      </c>
      <c r="J7" s="32" t="str">
        <f aca="false">IF(H7="","",IF(H7=0,0,I7/H7))</f>
        <v/>
      </c>
      <c r="K7" s="33"/>
      <c r="L7" s="30" t="str">
        <f aca="false">IF(G7="","",G7*K7)</f>
        <v/>
      </c>
      <c r="M7" s="30" t="str">
        <f aca="false">IF(L7="","",L7/12)</f>
        <v/>
      </c>
      <c r="N7" s="32" t="str">
        <f aca="false">IF(G7="","",IF(G$26=0,0,G7/G$26))</f>
        <v/>
      </c>
    </row>
    <row r="8" customFormat="false" ht="15" hidden="false" customHeight="false" outlineLevel="0" collapsed="false">
      <c r="A8" s="28"/>
      <c r="B8" s="28"/>
      <c r="C8" s="28"/>
      <c r="D8" s="28"/>
      <c r="E8" s="29"/>
      <c r="F8" s="29"/>
      <c r="G8" s="30" t="str">
        <f aca="false">IF(D8="","",D8*F8)</f>
        <v/>
      </c>
      <c r="H8" s="30" t="str">
        <f aca="false">IF(D8="","",D8*E8)</f>
        <v/>
      </c>
      <c r="I8" s="31" t="str">
        <f aca="false">IF(G8="","",G8-H8)</f>
        <v/>
      </c>
      <c r="J8" s="32" t="str">
        <f aca="false">IF(H8="","",IF(H8=0,0,I8/H8))</f>
        <v/>
      </c>
      <c r="K8" s="33"/>
      <c r="L8" s="30" t="str">
        <f aca="false">IF(G8="","",G8*K8)</f>
        <v/>
      </c>
      <c r="M8" s="30" t="str">
        <f aca="false">IF(L8="","",L8/12)</f>
        <v/>
      </c>
      <c r="N8" s="32" t="str">
        <f aca="false">IF(G8="","",IF(G$26=0,0,G8/G$26))</f>
        <v/>
      </c>
    </row>
    <row r="9" customFormat="false" ht="15" hidden="false" customHeight="false" outlineLevel="0" collapsed="false">
      <c r="A9" s="28"/>
      <c r="B9" s="28"/>
      <c r="C9" s="28"/>
      <c r="D9" s="28"/>
      <c r="E9" s="29"/>
      <c r="F9" s="29"/>
      <c r="G9" s="30" t="str">
        <f aca="false">IF(D9="","",D9*F9)</f>
        <v/>
      </c>
      <c r="H9" s="30" t="str">
        <f aca="false">IF(D9="","",D9*E9)</f>
        <v/>
      </c>
      <c r="I9" s="31" t="str">
        <f aca="false">IF(G9="","",G9-H9)</f>
        <v/>
      </c>
      <c r="J9" s="32" t="str">
        <f aca="false">IF(H9="","",IF(H9=0,0,I9/H9))</f>
        <v/>
      </c>
      <c r="K9" s="33"/>
      <c r="L9" s="30" t="str">
        <f aca="false">IF(G9="","",G9*K9)</f>
        <v/>
      </c>
      <c r="M9" s="30" t="str">
        <f aca="false">IF(L9="","",L9/12)</f>
        <v/>
      </c>
      <c r="N9" s="32" t="str">
        <f aca="false">IF(G9="","",IF(G$26=0,0,G9/G$26))</f>
        <v/>
      </c>
    </row>
    <row r="10" customFormat="false" ht="15" hidden="false" customHeight="false" outlineLevel="0" collapsed="false">
      <c r="A10" s="28"/>
      <c r="B10" s="28"/>
      <c r="C10" s="28"/>
      <c r="D10" s="28"/>
      <c r="E10" s="29"/>
      <c r="F10" s="29"/>
      <c r="G10" s="30" t="str">
        <f aca="false">IF(D10="","",D10*F10)</f>
        <v/>
      </c>
      <c r="H10" s="30" t="str">
        <f aca="false">IF(D10="","",D10*E10)</f>
        <v/>
      </c>
      <c r="I10" s="31" t="str">
        <f aca="false">IF(G10="","",G10-H10)</f>
        <v/>
      </c>
      <c r="J10" s="32" t="str">
        <f aca="false">IF(H10="","",IF(H10=0,0,I10/H10))</f>
        <v/>
      </c>
      <c r="K10" s="33"/>
      <c r="L10" s="30" t="str">
        <f aca="false">IF(G10="","",G10*K10)</f>
        <v/>
      </c>
      <c r="M10" s="30" t="str">
        <f aca="false">IF(L10="","",L10/12)</f>
        <v/>
      </c>
      <c r="N10" s="32" t="str">
        <f aca="false">IF(G10="","",IF(G$26=0,0,G10/G$26))</f>
        <v/>
      </c>
    </row>
    <row r="11" customFormat="false" ht="15" hidden="false" customHeight="false" outlineLevel="0" collapsed="false">
      <c r="A11" s="28"/>
      <c r="B11" s="28"/>
      <c r="C11" s="28"/>
      <c r="D11" s="28"/>
      <c r="E11" s="29"/>
      <c r="F11" s="29"/>
      <c r="G11" s="30" t="str">
        <f aca="false">IF(D11="","",D11*F11)</f>
        <v/>
      </c>
      <c r="H11" s="30" t="str">
        <f aca="false">IF(D11="","",D11*E11)</f>
        <v/>
      </c>
      <c r="I11" s="31" t="str">
        <f aca="false">IF(G11="","",G11-H11)</f>
        <v/>
      </c>
      <c r="J11" s="32" t="str">
        <f aca="false">IF(H11="","",IF(H11=0,0,I11/H11))</f>
        <v/>
      </c>
      <c r="K11" s="33"/>
      <c r="L11" s="30" t="str">
        <f aca="false">IF(G11="","",G11*K11)</f>
        <v/>
      </c>
      <c r="M11" s="30" t="str">
        <f aca="false">IF(L11="","",L11/12)</f>
        <v/>
      </c>
      <c r="N11" s="32" t="str">
        <f aca="false">IF(G11="","",IF(G$26=0,0,G11/G$26))</f>
        <v/>
      </c>
    </row>
    <row r="12" customFormat="false" ht="15" hidden="false" customHeight="false" outlineLevel="0" collapsed="false">
      <c r="A12" s="28"/>
      <c r="B12" s="28"/>
      <c r="C12" s="28"/>
      <c r="D12" s="28"/>
      <c r="E12" s="29"/>
      <c r="F12" s="29"/>
      <c r="G12" s="30" t="str">
        <f aca="false">IF(D12="","",D12*F12)</f>
        <v/>
      </c>
      <c r="H12" s="30" t="str">
        <f aca="false">IF(D12="","",D12*E12)</f>
        <v/>
      </c>
      <c r="I12" s="31" t="str">
        <f aca="false">IF(G12="","",G12-H12)</f>
        <v/>
      </c>
      <c r="J12" s="32" t="str">
        <f aca="false">IF(H12="","",IF(H12=0,0,I12/H12))</f>
        <v/>
      </c>
      <c r="K12" s="33"/>
      <c r="L12" s="30" t="str">
        <f aca="false">IF(G12="","",G12*K12)</f>
        <v/>
      </c>
      <c r="M12" s="30" t="str">
        <f aca="false">IF(L12="","",L12/12)</f>
        <v/>
      </c>
      <c r="N12" s="32" t="str">
        <f aca="false">IF(G12="","",IF(G$26=0,0,G12/G$26))</f>
        <v/>
      </c>
    </row>
    <row r="13" customFormat="false" ht="15" hidden="false" customHeight="false" outlineLevel="0" collapsed="false">
      <c r="A13" s="28"/>
      <c r="B13" s="28"/>
      <c r="C13" s="28"/>
      <c r="D13" s="28"/>
      <c r="E13" s="29"/>
      <c r="F13" s="29"/>
      <c r="G13" s="30" t="str">
        <f aca="false">IF(D13="","",D13*F13)</f>
        <v/>
      </c>
      <c r="H13" s="30" t="str">
        <f aca="false">IF(D13="","",D13*E13)</f>
        <v/>
      </c>
      <c r="I13" s="31" t="str">
        <f aca="false">IF(G13="","",G13-H13)</f>
        <v/>
      </c>
      <c r="J13" s="32" t="str">
        <f aca="false">IF(H13="","",IF(H13=0,0,I13/H13))</f>
        <v/>
      </c>
      <c r="K13" s="33"/>
      <c r="L13" s="30" t="str">
        <f aca="false">IF(G13="","",G13*K13)</f>
        <v/>
      </c>
      <c r="M13" s="30" t="str">
        <f aca="false">IF(L13="","",L13/12)</f>
        <v/>
      </c>
      <c r="N13" s="32" t="str">
        <f aca="false">IF(G13="","",IF(G$26=0,0,G13/G$26))</f>
        <v/>
      </c>
    </row>
    <row r="14" customFormat="false" ht="15" hidden="false" customHeight="false" outlineLevel="0" collapsed="false">
      <c r="A14" s="28"/>
      <c r="B14" s="28"/>
      <c r="C14" s="28"/>
      <c r="D14" s="28"/>
      <c r="E14" s="29"/>
      <c r="F14" s="29"/>
      <c r="G14" s="30" t="str">
        <f aca="false">IF(D14="","",D14*F14)</f>
        <v/>
      </c>
      <c r="H14" s="30" t="str">
        <f aca="false">IF(D14="","",D14*E14)</f>
        <v/>
      </c>
      <c r="I14" s="31" t="str">
        <f aca="false">IF(G14="","",G14-H14)</f>
        <v/>
      </c>
      <c r="J14" s="32" t="str">
        <f aca="false">IF(H14="","",IF(H14=0,0,I14/H14))</f>
        <v/>
      </c>
      <c r="K14" s="33"/>
      <c r="L14" s="30" t="str">
        <f aca="false">IF(G14="","",G14*K14)</f>
        <v/>
      </c>
      <c r="M14" s="30" t="str">
        <f aca="false">IF(L14="","",L14/12)</f>
        <v/>
      </c>
      <c r="N14" s="32" t="str">
        <f aca="false">IF(G14="","",IF(G$26=0,0,G14/G$26))</f>
        <v/>
      </c>
    </row>
    <row r="15" customFormat="false" ht="15" hidden="false" customHeight="false" outlineLevel="0" collapsed="false">
      <c r="A15" s="28"/>
      <c r="B15" s="28"/>
      <c r="C15" s="28"/>
      <c r="D15" s="28"/>
      <c r="E15" s="29"/>
      <c r="F15" s="29"/>
      <c r="G15" s="30" t="str">
        <f aca="false">IF(D15="","",D15*F15)</f>
        <v/>
      </c>
      <c r="H15" s="30" t="str">
        <f aca="false">IF(D15="","",D15*E15)</f>
        <v/>
      </c>
      <c r="I15" s="31" t="str">
        <f aca="false">IF(G15="","",G15-H15)</f>
        <v/>
      </c>
      <c r="J15" s="32" t="str">
        <f aca="false">IF(H15="","",IF(H15=0,0,I15/H15))</f>
        <v/>
      </c>
      <c r="K15" s="33"/>
      <c r="L15" s="30" t="str">
        <f aca="false">IF(G15="","",G15*K15)</f>
        <v/>
      </c>
      <c r="M15" s="30" t="str">
        <f aca="false">IF(L15="","",L15/12)</f>
        <v/>
      </c>
      <c r="N15" s="32" t="str">
        <f aca="false">IF(G15="","",IF(G$26=0,0,G15/G$26))</f>
        <v/>
      </c>
    </row>
    <row r="16" customFormat="false" ht="15" hidden="false" customHeight="false" outlineLevel="0" collapsed="false">
      <c r="A16" s="28"/>
      <c r="B16" s="28"/>
      <c r="C16" s="28"/>
      <c r="D16" s="28"/>
      <c r="E16" s="29"/>
      <c r="F16" s="29"/>
      <c r="G16" s="30" t="str">
        <f aca="false">IF(D16="","",D16*F16)</f>
        <v/>
      </c>
      <c r="H16" s="30" t="str">
        <f aca="false">IF(D16="","",D16*E16)</f>
        <v/>
      </c>
      <c r="I16" s="31" t="str">
        <f aca="false">IF(G16="","",G16-H16)</f>
        <v/>
      </c>
      <c r="J16" s="32" t="str">
        <f aca="false">IF(H16="","",IF(H16=0,0,I16/H16))</f>
        <v/>
      </c>
      <c r="K16" s="33"/>
      <c r="L16" s="30" t="str">
        <f aca="false">IF(G16="","",G16*K16)</f>
        <v/>
      </c>
      <c r="M16" s="30" t="str">
        <f aca="false">IF(L16="","",L16/12)</f>
        <v/>
      </c>
      <c r="N16" s="32" t="str">
        <f aca="false">IF(G16="","",IF(G$26=0,0,G16/G$26))</f>
        <v/>
      </c>
    </row>
    <row r="17" customFormat="false" ht="15" hidden="false" customHeight="false" outlineLevel="0" collapsed="false">
      <c r="A17" s="28"/>
      <c r="B17" s="28"/>
      <c r="C17" s="28"/>
      <c r="D17" s="28"/>
      <c r="E17" s="29"/>
      <c r="F17" s="29"/>
      <c r="G17" s="30" t="str">
        <f aca="false">IF(D17="","",D17*F17)</f>
        <v/>
      </c>
      <c r="H17" s="30" t="str">
        <f aca="false">IF(D17="","",D17*E17)</f>
        <v/>
      </c>
      <c r="I17" s="31" t="str">
        <f aca="false">IF(G17="","",G17-H17)</f>
        <v/>
      </c>
      <c r="J17" s="32" t="str">
        <f aca="false">IF(H17="","",IF(H17=0,0,I17/H17))</f>
        <v/>
      </c>
      <c r="K17" s="33"/>
      <c r="L17" s="30" t="str">
        <f aca="false">IF(G17="","",G17*K17)</f>
        <v/>
      </c>
      <c r="M17" s="30" t="str">
        <f aca="false">IF(L17="","",L17/12)</f>
        <v/>
      </c>
      <c r="N17" s="32" t="str">
        <f aca="false">IF(G17="","",IF(G$26=0,0,G17/G$26))</f>
        <v/>
      </c>
    </row>
    <row r="18" customFormat="false" ht="15" hidden="false" customHeight="false" outlineLevel="0" collapsed="false">
      <c r="A18" s="28"/>
      <c r="B18" s="28"/>
      <c r="C18" s="28"/>
      <c r="D18" s="28"/>
      <c r="E18" s="29"/>
      <c r="F18" s="29"/>
      <c r="G18" s="30" t="str">
        <f aca="false">IF(D18="","",D18*F18)</f>
        <v/>
      </c>
      <c r="H18" s="30" t="str">
        <f aca="false">IF(D18="","",D18*E18)</f>
        <v/>
      </c>
      <c r="I18" s="31" t="str">
        <f aca="false">IF(G18="","",G18-H18)</f>
        <v/>
      </c>
      <c r="J18" s="32" t="str">
        <f aca="false">IF(H18="","",IF(H18=0,0,I18/H18))</f>
        <v/>
      </c>
      <c r="K18" s="33"/>
      <c r="L18" s="30" t="str">
        <f aca="false">IF(G18="","",G18*K18)</f>
        <v/>
      </c>
      <c r="M18" s="30" t="str">
        <f aca="false">IF(L18="","",L18/12)</f>
        <v/>
      </c>
      <c r="N18" s="32" t="str">
        <f aca="false">IF(G18="","",IF(G$26=0,0,G18/G$26))</f>
        <v/>
      </c>
    </row>
    <row r="19" customFormat="false" ht="15" hidden="false" customHeight="false" outlineLevel="0" collapsed="false">
      <c r="A19" s="28"/>
      <c r="B19" s="28"/>
      <c r="C19" s="28"/>
      <c r="D19" s="28"/>
      <c r="E19" s="29"/>
      <c r="F19" s="29"/>
      <c r="G19" s="30" t="str">
        <f aca="false">IF(D19="","",D19*F19)</f>
        <v/>
      </c>
      <c r="H19" s="30" t="str">
        <f aca="false">IF(D19="","",D19*E19)</f>
        <v/>
      </c>
      <c r="I19" s="31" t="str">
        <f aca="false">IF(G19="","",G19-H19)</f>
        <v/>
      </c>
      <c r="J19" s="32" t="str">
        <f aca="false">IF(H19="","",IF(H19=0,0,I19/H19))</f>
        <v/>
      </c>
      <c r="K19" s="33"/>
      <c r="L19" s="30" t="str">
        <f aca="false">IF(G19="","",G19*K19)</f>
        <v/>
      </c>
      <c r="M19" s="30" t="str">
        <f aca="false">IF(L19="","",L19/12)</f>
        <v/>
      </c>
      <c r="N19" s="32" t="str">
        <f aca="false">IF(G19="","",IF(G$26=0,0,G19/G$26))</f>
        <v/>
      </c>
    </row>
    <row r="20" customFormat="false" ht="15" hidden="false" customHeight="false" outlineLevel="0" collapsed="false">
      <c r="A20" s="28"/>
      <c r="B20" s="28"/>
      <c r="C20" s="28"/>
      <c r="D20" s="28"/>
      <c r="E20" s="29"/>
      <c r="F20" s="29"/>
      <c r="G20" s="30" t="str">
        <f aca="false">IF(D20="","",D20*F20)</f>
        <v/>
      </c>
      <c r="H20" s="30" t="str">
        <f aca="false">IF(D20="","",D20*E20)</f>
        <v/>
      </c>
      <c r="I20" s="31" t="str">
        <f aca="false">IF(G20="","",G20-H20)</f>
        <v/>
      </c>
      <c r="J20" s="32" t="str">
        <f aca="false">IF(H20="","",IF(H20=0,0,I20/H20))</f>
        <v/>
      </c>
      <c r="K20" s="33"/>
      <c r="L20" s="30" t="str">
        <f aca="false">IF(G20="","",G20*K20)</f>
        <v/>
      </c>
      <c r="M20" s="30" t="str">
        <f aca="false">IF(L20="","",L20/12)</f>
        <v/>
      </c>
      <c r="N20" s="32" t="str">
        <f aca="false">IF(G20="","",IF(G$26=0,0,G20/G$26))</f>
        <v/>
      </c>
    </row>
    <row r="21" customFormat="false" ht="15" hidden="false" customHeight="false" outlineLevel="0" collapsed="false">
      <c r="A21" s="28"/>
      <c r="B21" s="28"/>
      <c r="C21" s="28"/>
      <c r="D21" s="28"/>
      <c r="E21" s="29"/>
      <c r="F21" s="29"/>
      <c r="G21" s="30" t="str">
        <f aca="false">IF(D21="","",D21*F21)</f>
        <v/>
      </c>
      <c r="H21" s="30" t="str">
        <f aca="false">IF(D21="","",D21*E21)</f>
        <v/>
      </c>
      <c r="I21" s="31" t="str">
        <f aca="false">IF(G21="","",G21-H21)</f>
        <v/>
      </c>
      <c r="J21" s="32" t="str">
        <f aca="false">IF(H21="","",IF(H21=0,0,I21/H21))</f>
        <v/>
      </c>
      <c r="K21" s="33"/>
      <c r="L21" s="30" t="str">
        <f aca="false">IF(G21="","",G21*K21)</f>
        <v/>
      </c>
      <c r="M21" s="30" t="str">
        <f aca="false">IF(L21="","",L21/12)</f>
        <v/>
      </c>
      <c r="N21" s="32" t="str">
        <f aca="false">IF(G21="","",IF(G$26=0,0,G21/G$26))</f>
        <v/>
      </c>
    </row>
    <row r="22" customFormat="false" ht="15" hidden="false" customHeight="false" outlineLevel="0" collapsed="false">
      <c r="A22" s="28"/>
      <c r="B22" s="28"/>
      <c r="C22" s="28"/>
      <c r="D22" s="28"/>
      <c r="E22" s="29"/>
      <c r="F22" s="29"/>
      <c r="G22" s="30" t="str">
        <f aca="false">IF(D22="","",D22*F22)</f>
        <v/>
      </c>
      <c r="H22" s="30" t="str">
        <f aca="false">IF(D22="","",D22*E22)</f>
        <v/>
      </c>
      <c r="I22" s="31" t="str">
        <f aca="false">IF(G22="","",G22-H22)</f>
        <v/>
      </c>
      <c r="J22" s="32" t="str">
        <f aca="false">IF(H22="","",IF(H22=0,0,I22/H22))</f>
        <v/>
      </c>
      <c r="K22" s="33"/>
      <c r="L22" s="30" t="str">
        <f aca="false">IF(G22="","",G22*K22)</f>
        <v/>
      </c>
      <c r="M22" s="30" t="str">
        <f aca="false">IF(L22="","",L22/12)</f>
        <v/>
      </c>
      <c r="N22" s="32" t="str">
        <f aca="false">IF(G22="","",IF(G$26=0,0,G22/G$26))</f>
        <v/>
      </c>
    </row>
    <row r="23" customFormat="false" ht="15" hidden="false" customHeight="false" outlineLevel="0" collapsed="false">
      <c r="A23" s="28"/>
      <c r="B23" s="28"/>
      <c r="C23" s="28"/>
      <c r="D23" s="28"/>
      <c r="E23" s="29"/>
      <c r="F23" s="29"/>
      <c r="G23" s="30" t="str">
        <f aca="false">IF(D23="","",D23*F23)</f>
        <v/>
      </c>
      <c r="H23" s="30" t="str">
        <f aca="false">IF(D23="","",D23*E23)</f>
        <v/>
      </c>
      <c r="I23" s="31" t="str">
        <f aca="false">IF(G23="","",G23-H23)</f>
        <v/>
      </c>
      <c r="J23" s="32" t="str">
        <f aca="false">IF(H23="","",IF(H23=0,0,I23/H23))</f>
        <v/>
      </c>
      <c r="K23" s="33"/>
      <c r="L23" s="30" t="str">
        <f aca="false">IF(G23="","",G23*K23)</f>
        <v/>
      </c>
      <c r="M23" s="30" t="str">
        <f aca="false">IF(L23="","",L23/12)</f>
        <v/>
      </c>
      <c r="N23" s="32" t="str">
        <f aca="false">IF(G23="","",IF(G$26=0,0,G23/G$26))</f>
        <v/>
      </c>
    </row>
    <row r="24" customFormat="false" ht="15" hidden="false" customHeight="false" outlineLevel="0" collapsed="false">
      <c r="A24" s="28"/>
      <c r="B24" s="28"/>
      <c r="C24" s="28"/>
      <c r="D24" s="28"/>
      <c r="E24" s="29"/>
      <c r="F24" s="29"/>
      <c r="G24" s="30" t="str">
        <f aca="false">IF(D24="","",D24*F24)</f>
        <v/>
      </c>
      <c r="H24" s="30" t="str">
        <f aca="false">IF(D24="","",D24*E24)</f>
        <v/>
      </c>
      <c r="I24" s="31" t="str">
        <f aca="false">IF(G24="","",G24-H24)</f>
        <v/>
      </c>
      <c r="J24" s="32" t="str">
        <f aca="false">IF(H24="","",IF(H24=0,0,I24/H24))</f>
        <v/>
      </c>
      <c r="K24" s="33"/>
      <c r="L24" s="30" t="str">
        <f aca="false">IF(G24="","",G24*K24)</f>
        <v/>
      </c>
      <c r="M24" s="30" t="str">
        <f aca="false">IF(L24="","",L24/12)</f>
        <v/>
      </c>
      <c r="N24" s="32" t="str">
        <f aca="false">IF(G24="","",IF(G$26=0,0,G24/G$26))</f>
        <v/>
      </c>
    </row>
    <row r="25" customFormat="false" ht="15" hidden="false" customHeight="false" outlineLevel="0" collapsed="false">
      <c r="A25" s="34" t="s">
        <v>105</v>
      </c>
      <c r="B25" s="34" t="s">
        <v>106</v>
      </c>
      <c r="C25" s="34" t="s">
        <v>7</v>
      </c>
      <c r="D25" s="34"/>
      <c r="E25" s="34" t="n">
        <v>1</v>
      </c>
      <c r="F25" s="35" t="n">
        <v>0</v>
      </c>
      <c r="G25" s="14" t="n">
        <f aca="false">F25</f>
        <v>0</v>
      </c>
      <c r="H25" s="36"/>
      <c r="I25" s="36"/>
      <c r="J25" s="36"/>
      <c r="K25" s="34" t="n">
        <v>0.042</v>
      </c>
      <c r="L25" s="14" t="n">
        <f aca="false">G25*K25</f>
        <v>0</v>
      </c>
      <c r="M25" s="14" t="n">
        <f aca="false">L25/12</f>
        <v>0</v>
      </c>
      <c r="N25" s="36"/>
    </row>
    <row r="26" customFormat="false" ht="15" hidden="false" customHeight="false" outlineLevel="0" collapsed="false">
      <c r="A26" s="37" t="s">
        <v>91</v>
      </c>
      <c r="B26" s="38"/>
      <c r="C26" s="38"/>
      <c r="D26" s="38"/>
      <c r="E26" s="38"/>
      <c r="F26" s="38"/>
      <c r="G26" s="39" t="n">
        <f aca="false">SUM(G5:G25)</f>
        <v>0</v>
      </c>
      <c r="H26" s="39" t="n">
        <f aca="false">SUM(H5:H24)</f>
        <v>0</v>
      </c>
      <c r="I26" s="40" t="n">
        <f aca="false">SUM(I5:I24)</f>
        <v>0</v>
      </c>
      <c r="J26" s="41" t="n">
        <f aca="false">IF(H26=0,0,I26/H26)</f>
        <v>0</v>
      </c>
      <c r="K26" s="38"/>
      <c r="L26" s="39" t="n">
        <f aca="false">SUM(L5:L25)</f>
        <v>0</v>
      </c>
      <c r="M26" s="39" t="n">
        <f aca="false">SUM(M5:M25)</f>
        <v>0</v>
      </c>
      <c r="N26" s="41" t="n">
        <f aca="false">IF(G26=0,0,SUM(G5:G24)/G26)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9" min="6" style="0" width="16"/>
    <col collapsed="false" customWidth="true" hidden="false" outlineLevel="0" max="10" min="10" style="0" width="35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42" t="s">
        <v>108</v>
      </c>
    </row>
    <row r="4" customFormat="false" ht="15" hidden="false" customHeight="false" outlineLevel="0" collapsed="false">
      <c r="A4" s="4" t="s">
        <v>109</v>
      </c>
      <c r="B4" s="4" t="s">
        <v>110</v>
      </c>
      <c r="C4" s="4" t="s">
        <v>7</v>
      </c>
      <c r="D4" s="4" t="s">
        <v>8</v>
      </c>
      <c r="E4" s="4" t="s">
        <v>111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51</v>
      </c>
    </row>
    <row r="5" customFormat="false" ht="15" hidden="false" customHeight="false" outlineLevel="0" collapsed="false">
      <c r="A5" s="43"/>
      <c r="B5" s="15"/>
      <c r="C5" s="15"/>
      <c r="D5" s="29"/>
      <c r="E5" s="44"/>
      <c r="F5" s="45"/>
      <c r="G5" s="45"/>
      <c r="H5" s="45"/>
      <c r="I5" s="45"/>
      <c r="J5" s="28"/>
    </row>
    <row r="6" customFormat="false" ht="15" hidden="false" customHeight="false" outlineLevel="0" collapsed="false">
      <c r="A6" s="43"/>
      <c r="B6" s="15"/>
      <c r="C6" s="15"/>
      <c r="D6" s="29"/>
      <c r="E6" s="44"/>
      <c r="F6" s="45"/>
      <c r="G6" s="45"/>
      <c r="H6" s="45"/>
      <c r="I6" s="45"/>
      <c r="J6" s="28"/>
    </row>
    <row r="7" customFormat="false" ht="15" hidden="false" customHeight="false" outlineLevel="0" collapsed="false">
      <c r="A7" s="43"/>
      <c r="B7" s="15"/>
      <c r="C7" s="15"/>
      <c r="D7" s="29"/>
      <c r="E7" s="44"/>
      <c r="F7" s="45"/>
      <c r="G7" s="45"/>
      <c r="H7" s="45"/>
      <c r="I7" s="45"/>
      <c r="J7" s="28"/>
    </row>
    <row r="8" customFormat="false" ht="15" hidden="false" customHeight="false" outlineLevel="0" collapsed="false">
      <c r="A8" s="43"/>
      <c r="B8" s="15"/>
      <c r="C8" s="15"/>
      <c r="D8" s="29"/>
      <c r="E8" s="44"/>
      <c r="F8" s="45"/>
      <c r="G8" s="45"/>
      <c r="H8" s="45"/>
      <c r="I8" s="45"/>
      <c r="J8" s="28"/>
    </row>
    <row r="9" customFormat="false" ht="15" hidden="false" customHeight="false" outlineLevel="0" collapsed="false">
      <c r="A9" s="43"/>
      <c r="B9" s="15"/>
      <c r="C9" s="15"/>
      <c r="D9" s="29"/>
      <c r="E9" s="44"/>
      <c r="F9" s="45"/>
      <c r="G9" s="45"/>
      <c r="H9" s="45"/>
      <c r="I9" s="45"/>
      <c r="J9" s="28"/>
    </row>
    <row r="10" customFormat="false" ht="15" hidden="false" customHeight="false" outlineLevel="0" collapsed="false">
      <c r="A10" s="43"/>
      <c r="B10" s="15"/>
      <c r="C10" s="15"/>
      <c r="D10" s="29"/>
      <c r="E10" s="44"/>
      <c r="F10" s="45"/>
      <c r="G10" s="45"/>
      <c r="H10" s="45"/>
      <c r="I10" s="45"/>
      <c r="J10" s="28"/>
    </row>
    <row r="11" customFormat="false" ht="15" hidden="false" customHeight="false" outlineLevel="0" collapsed="false">
      <c r="A11" s="43"/>
      <c r="B11" s="15"/>
      <c r="C11" s="15"/>
      <c r="D11" s="29"/>
      <c r="E11" s="44"/>
      <c r="F11" s="45"/>
      <c r="G11" s="45"/>
      <c r="H11" s="45"/>
      <c r="I11" s="45"/>
      <c r="J11" s="28"/>
    </row>
    <row r="12" customFormat="false" ht="15" hidden="false" customHeight="false" outlineLevel="0" collapsed="false">
      <c r="A12" s="43"/>
      <c r="B12" s="15"/>
      <c r="C12" s="15"/>
      <c r="D12" s="29"/>
      <c r="E12" s="44"/>
      <c r="F12" s="45"/>
      <c r="G12" s="45"/>
      <c r="H12" s="45"/>
      <c r="I12" s="45"/>
      <c r="J12" s="28"/>
    </row>
    <row r="13" customFormat="false" ht="15" hidden="false" customHeight="false" outlineLevel="0" collapsed="false">
      <c r="A13" s="43"/>
      <c r="B13" s="15"/>
      <c r="C13" s="15"/>
      <c r="D13" s="29"/>
      <c r="E13" s="44"/>
      <c r="F13" s="45"/>
      <c r="G13" s="45"/>
      <c r="H13" s="45"/>
      <c r="I13" s="45"/>
      <c r="J13" s="28"/>
    </row>
    <row r="14" customFormat="false" ht="15" hidden="false" customHeight="false" outlineLevel="0" collapsed="false">
      <c r="A14" s="43"/>
      <c r="B14" s="15"/>
      <c r="C14" s="15"/>
      <c r="D14" s="29"/>
      <c r="E14" s="44"/>
      <c r="F14" s="45"/>
      <c r="G14" s="45"/>
      <c r="H14" s="45"/>
      <c r="I14" s="45"/>
      <c r="J14" s="28"/>
    </row>
    <row r="15" customFormat="false" ht="15" hidden="false" customHeight="false" outlineLevel="0" collapsed="false">
      <c r="A15" s="43"/>
      <c r="B15" s="15"/>
      <c r="C15" s="15"/>
      <c r="D15" s="29"/>
      <c r="E15" s="44"/>
      <c r="F15" s="45"/>
      <c r="G15" s="45"/>
      <c r="H15" s="45"/>
      <c r="I15" s="45"/>
      <c r="J15" s="28"/>
    </row>
    <row r="16" customFormat="false" ht="15" hidden="false" customHeight="false" outlineLevel="0" collapsed="false">
      <c r="A16" s="43"/>
      <c r="B16" s="15"/>
      <c r="C16" s="15"/>
      <c r="D16" s="29"/>
      <c r="E16" s="44"/>
      <c r="F16" s="45"/>
      <c r="G16" s="45"/>
      <c r="H16" s="45"/>
      <c r="I16" s="45"/>
      <c r="J16" s="28"/>
    </row>
    <row r="17" customFormat="false" ht="15" hidden="false" customHeight="false" outlineLevel="0" collapsed="false">
      <c r="A17" s="43"/>
      <c r="B17" s="15"/>
      <c r="C17" s="15"/>
      <c r="D17" s="29"/>
      <c r="E17" s="44"/>
      <c r="F17" s="45"/>
      <c r="G17" s="45"/>
      <c r="H17" s="45"/>
      <c r="I17" s="45"/>
      <c r="J17" s="28"/>
    </row>
    <row r="18" customFormat="false" ht="15" hidden="false" customHeight="false" outlineLevel="0" collapsed="false">
      <c r="A18" s="43"/>
      <c r="B18" s="15"/>
      <c r="C18" s="15"/>
      <c r="D18" s="29"/>
      <c r="E18" s="44"/>
      <c r="F18" s="45"/>
      <c r="G18" s="45"/>
      <c r="H18" s="45"/>
      <c r="I18" s="45"/>
      <c r="J18" s="28"/>
    </row>
    <row r="19" customFormat="false" ht="15" hidden="false" customHeight="false" outlineLevel="0" collapsed="false">
      <c r="A19" s="43"/>
      <c r="B19" s="15"/>
      <c r="C19" s="15"/>
      <c r="D19" s="29"/>
      <c r="E19" s="44"/>
      <c r="F19" s="45"/>
      <c r="G19" s="45"/>
      <c r="H19" s="45"/>
      <c r="I19" s="45"/>
      <c r="J19" s="28"/>
    </row>
    <row r="20" customFormat="false" ht="15" hidden="false" customHeight="false" outlineLevel="0" collapsed="false">
      <c r="A20" s="43"/>
      <c r="B20" s="15"/>
      <c r="C20" s="15"/>
      <c r="D20" s="29"/>
      <c r="E20" s="44"/>
      <c r="F20" s="45"/>
      <c r="G20" s="45"/>
      <c r="H20" s="45"/>
      <c r="I20" s="45"/>
      <c r="J20" s="28"/>
    </row>
    <row r="21" customFormat="false" ht="15" hidden="false" customHeight="false" outlineLevel="0" collapsed="false">
      <c r="A21" s="43"/>
      <c r="B21" s="15"/>
      <c r="C21" s="15"/>
      <c r="D21" s="29"/>
      <c r="E21" s="44"/>
      <c r="F21" s="45"/>
      <c r="G21" s="45"/>
      <c r="H21" s="45"/>
      <c r="I21" s="45"/>
      <c r="J21" s="28"/>
    </row>
    <row r="22" customFormat="false" ht="15" hidden="false" customHeight="false" outlineLevel="0" collapsed="false">
      <c r="A22" s="43"/>
      <c r="B22" s="15"/>
      <c r="C22" s="15"/>
      <c r="D22" s="29"/>
      <c r="E22" s="44"/>
      <c r="F22" s="45"/>
      <c r="G22" s="45"/>
      <c r="H22" s="45"/>
      <c r="I22" s="45"/>
      <c r="J22" s="28"/>
    </row>
    <row r="23" customFormat="false" ht="15" hidden="false" customHeight="false" outlineLevel="0" collapsed="false">
      <c r="A23" s="43"/>
      <c r="B23" s="15"/>
      <c r="C23" s="15"/>
      <c r="D23" s="29"/>
      <c r="E23" s="44"/>
      <c r="F23" s="45"/>
      <c r="G23" s="45"/>
      <c r="H23" s="45"/>
      <c r="I23" s="45"/>
      <c r="J23" s="28"/>
    </row>
    <row r="24" customFormat="false" ht="15" hidden="false" customHeight="false" outlineLevel="0" collapsed="false">
      <c r="A24" s="43"/>
      <c r="B24" s="15"/>
      <c r="C24" s="15"/>
      <c r="D24" s="29"/>
      <c r="E24" s="44"/>
      <c r="F24" s="45"/>
      <c r="G24" s="45"/>
      <c r="H24" s="45"/>
      <c r="I24" s="45"/>
      <c r="J24" s="28"/>
    </row>
    <row r="25" customFormat="false" ht="15" hidden="false" customHeight="false" outlineLevel="0" collapsed="false">
      <c r="A25" s="43"/>
      <c r="B25" s="15"/>
      <c r="C25" s="15"/>
      <c r="D25" s="29"/>
      <c r="E25" s="44"/>
      <c r="F25" s="45"/>
      <c r="G25" s="45"/>
      <c r="H25" s="45"/>
      <c r="I25" s="45"/>
      <c r="J25" s="28"/>
    </row>
    <row r="26" customFormat="false" ht="15" hidden="false" customHeight="false" outlineLevel="0" collapsed="false">
      <c r="A26" s="43"/>
      <c r="B26" s="15"/>
      <c r="C26" s="15"/>
      <c r="D26" s="29"/>
      <c r="E26" s="44"/>
      <c r="F26" s="45"/>
      <c r="G26" s="45"/>
      <c r="H26" s="45"/>
      <c r="I26" s="45"/>
      <c r="J26" s="28"/>
    </row>
    <row r="27" customFormat="false" ht="15" hidden="false" customHeight="false" outlineLevel="0" collapsed="false">
      <c r="A27" s="43"/>
      <c r="B27" s="15"/>
      <c r="C27" s="15"/>
      <c r="D27" s="29"/>
      <c r="E27" s="44"/>
      <c r="F27" s="45"/>
      <c r="G27" s="45"/>
      <c r="H27" s="45"/>
      <c r="I27" s="45"/>
      <c r="J27" s="28"/>
    </row>
    <row r="28" customFormat="false" ht="15" hidden="false" customHeight="false" outlineLevel="0" collapsed="false">
      <c r="A28" s="43"/>
      <c r="B28" s="15"/>
      <c r="C28" s="15"/>
      <c r="D28" s="29"/>
      <c r="E28" s="44"/>
      <c r="F28" s="45"/>
      <c r="G28" s="45"/>
      <c r="H28" s="45"/>
      <c r="I28" s="45"/>
      <c r="J28" s="28"/>
    </row>
    <row r="29" customFormat="false" ht="15" hidden="false" customHeight="false" outlineLevel="0" collapsed="false">
      <c r="A29" s="43"/>
      <c r="B29" s="15"/>
      <c r="C29" s="15"/>
      <c r="D29" s="29"/>
      <c r="E29" s="44"/>
      <c r="F29" s="45"/>
      <c r="G29" s="45"/>
      <c r="H29" s="45"/>
      <c r="I29" s="45"/>
      <c r="J29" s="28"/>
    </row>
    <row r="30" customFormat="false" ht="15" hidden="false" customHeight="false" outlineLevel="0" collapsed="false">
      <c r="A30" s="43"/>
      <c r="B30" s="15"/>
      <c r="C30" s="15"/>
      <c r="D30" s="29"/>
      <c r="E30" s="44"/>
      <c r="F30" s="45"/>
      <c r="G30" s="45"/>
      <c r="H30" s="45"/>
      <c r="I30" s="45"/>
      <c r="J30" s="28"/>
    </row>
    <row r="31" customFormat="false" ht="15" hidden="false" customHeight="false" outlineLevel="0" collapsed="false">
      <c r="A31" s="43"/>
      <c r="B31" s="15"/>
      <c r="C31" s="15"/>
      <c r="D31" s="29"/>
      <c r="E31" s="44"/>
      <c r="F31" s="45"/>
      <c r="G31" s="45"/>
      <c r="H31" s="45"/>
      <c r="I31" s="45"/>
      <c r="J31" s="28"/>
    </row>
    <row r="32" customFormat="false" ht="15" hidden="false" customHeight="false" outlineLevel="0" collapsed="false">
      <c r="A32" s="43"/>
      <c r="B32" s="15"/>
      <c r="C32" s="15"/>
      <c r="D32" s="29"/>
      <c r="E32" s="44"/>
      <c r="F32" s="45"/>
      <c r="G32" s="45"/>
      <c r="H32" s="45"/>
      <c r="I32" s="45"/>
      <c r="J32" s="28"/>
    </row>
    <row r="33" customFormat="false" ht="15" hidden="false" customHeight="false" outlineLevel="0" collapsed="false">
      <c r="A33" s="43"/>
      <c r="B33" s="15"/>
      <c r="C33" s="15"/>
      <c r="D33" s="29"/>
      <c r="E33" s="44"/>
      <c r="F33" s="45"/>
      <c r="G33" s="45"/>
      <c r="H33" s="45"/>
      <c r="I33" s="45"/>
      <c r="J33" s="28"/>
    </row>
    <row r="34" customFormat="false" ht="15" hidden="false" customHeight="false" outlineLevel="0" collapsed="false">
      <c r="A34" s="43"/>
      <c r="B34" s="15"/>
      <c r="C34" s="15"/>
      <c r="D34" s="29"/>
      <c r="E34" s="44"/>
      <c r="F34" s="45"/>
      <c r="G34" s="45"/>
      <c r="H34" s="45"/>
      <c r="I34" s="45"/>
      <c r="J34" s="28"/>
    </row>
    <row r="35" customFormat="false" ht="15" hidden="false" customHeight="false" outlineLevel="0" collapsed="false">
      <c r="A35" s="43"/>
      <c r="B35" s="15"/>
      <c r="C35" s="15"/>
      <c r="D35" s="29"/>
      <c r="E35" s="44"/>
      <c r="F35" s="45"/>
      <c r="G35" s="45"/>
      <c r="H35" s="45"/>
      <c r="I35" s="45"/>
      <c r="J35" s="28"/>
    </row>
    <row r="36" customFormat="false" ht="15" hidden="false" customHeight="false" outlineLevel="0" collapsed="false">
      <c r="A36" s="43"/>
      <c r="B36" s="15"/>
      <c r="C36" s="15"/>
      <c r="D36" s="29"/>
      <c r="E36" s="44"/>
      <c r="F36" s="45"/>
      <c r="G36" s="45"/>
      <c r="H36" s="45"/>
      <c r="I36" s="45"/>
      <c r="J36" s="28"/>
    </row>
    <row r="37" customFormat="false" ht="15" hidden="false" customHeight="false" outlineLevel="0" collapsed="false">
      <c r="A37" s="43"/>
      <c r="B37" s="15"/>
      <c r="C37" s="15"/>
      <c r="D37" s="29"/>
      <c r="E37" s="44"/>
      <c r="F37" s="45"/>
      <c r="G37" s="45"/>
      <c r="H37" s="45"/>
      <c r="I37" s="45"/>
      <c r="J37" s="28"/>
    </row>
    <row r="38" customFormat="false" ht="15" hidden="false" customHeight="false" outlineLevel="0" collapsed="false">
      <c r="A38" s="43"/>
      <c r="B38" s="15"/>
      <c r="C38" s="15"/>
      <c r="D38" s="29"/>
      <c r="E38" s="44"/>
      <c r="F38" s="45"/>
      <c r="G38" s="45"/>
      <c r="H38" s="45"/>
      <c r="I38" s="45"/>
      <c r="J38" s="28"/>
    </row>
    <row r="39" customFormat="false" ht="15" hidden="false" customHeight="false" outlineLevel="0" collapsed="false">
      <c r="A39" s="43"/>
      <c r="B39" s="15"/>
      <c r="C39" s="15"/>
      <c r="D39" s="29"/>
      <c r="E39" s="44"/>
      <c r="F39" s="45"/>
      <c r="G39" s="45"/>
      <c r="H39" s="45"/>
      <c r="I39" s="45"/>
      <c r="J39" s="28"/>
    </row>
    <row r="40" customFormat="false" ht="15" hidden="false" customHeight="false" outlineLevel="0" collapsed="false">
      <c r="A40" s="43"/>
      <c r="B40" s="15"/>
      <c r="C40" s="15"/>
      <c r="D40" s="29"/>
      <c r="E40" s="44"/>
      <c r="F40" s="45"/>
      <c r="G40" s="45"/>
      <c r="H40" s="45"/>
      <c r="I40" s="45"/>
      <c r="J40" s="28"/>
    </row>
    <row r="41" customFormat="false" ht="15" hidden="false" customHeight="false" outlineLevel="0" collapsed="false">
      <c r="A41" s="43"/>
      <c r="B41" s="15"/>
      <c r="C41" s="15"/>
      <c r="D41" s="29"/>
      <c r="E41" s="44"/>
      <c r="F41" s="45"/>
      <c r="G41" s="45"/>
      <c r="H41" s="45"/>
      <c r="I41" s="45"/>
      <c r="J41" s="28"/>
    </row>
    <row r="42" customFormat="false" ht="15" hidden="false" customHeight="false" outlineLevel="0" collapsed="false">
      <c r="A42" s="43"/>
      <c r="B42" s="15"/>
      <c r="C42" s="15"/>
      <c r="D42" s="29"/>
      <c r="E42" s="44"/>
      <c r="F42" s="45"/>
      <c r="G42" s="45"/>
      <c r="H42" s="45"/>
      <c r="I42" s="45"/>
      <c r="J42" s="28"/>
    </row>
    <row r="43" customFormat="false" ht="15" hidden="false" customHeight="false" outlineLevel="0" collapsed="false">
      <c r="A43" s="43"/>
      <c r="B43" s="15"/>
      <c r="C43" s="15"/>
      <c r="D43" s="29"/>
      <c r="E43" s="44"/>
      <c r="F43" s="45"/>
      <c r="G43" s="45"/>
      <c r="H43" s="45"/>
      <c r="I43" s="45"/>
      <c r="J43" s="28"/>
    </row>
    <row r="44" customFormat="false" ht="15" hidden="false" customHeight="false" outlineLevel="0" collapsed="false">
      <c r="A44" s="43"/>
      <c r="B44" s="15"/>
      <c r="C44" s="15"/>
      <c r="D44" s="29"/>
      <c r="E44" s="44"/>
      <c r="F44" s="45"/>
      <c r="G44" s="45"/>
      <c r="H44" s="45"/>
      <c r="I44" s="45"/>
      <c r="J44" s="28"/>
    </row>
    <row r="45" customFormat="false" ht="15" hidden="false" customHeight="false" outlineLevel="0" collapsed="false">
      <c r="A45" s="43"/>
      <c r="B45" s="15"/>
      <c r="C45" s="15"/>
      <c r="D45" s="29"/>
      <c r="E45" s="44"/>
      <c r="F45" s="45"/>
      <c r="G45" s="45"/>
      <c r="H45" s="45"/>
      <c r="I45" s="45"/>
      <c r="J45" s="28"/>
    </row>
    <row r="46" customFormat="false" ht="15" hidden="false" customHeight="false" outlineLevel="0" collapsed="false">
      <c r="A46" s="43"/>
      <c r="B46" s="15"/>
      <c r="C46" s="15"/>
      <c r="D46" s="29"/>
      <c r="E46" s="44"/>
      <c r="F46" s="45"/>
      <c r="G46" s="45"/>
      <c r="H46" s="45"/>
      <c r="I46" s="45"/>
      <c r="J46" s="28"/>
    </row>
    <row r="47" customFormat="false" ht="15" hidden="false" customHeight="false" outlineLevel="0" collapsed="false">
      <c r="A47" s="43"/>
      <c r="B47" s="15"/>
      <c r="C47" s="15"/>
      <c r="D47" s="29"/>
      <c r="E47" s="44"/>
      <c r="F47" s="45"/>
      <c r="G47" s="45"/>
      <c r="H47" s="45"/>
      <c r="I47" s="45"/>
      <c r="J47" s="28"/>
    </row>
    <row r="48" customFormat="false" ht="15" hidden="false" customHeight="false" outlineLevel="0" collapsed="false">
      <c r="A48" s="43"/>
      <c r="B48" s="15"/>
      <c r="C48" s="15"/>
      <c r="D48" s="29"/>
      <c r="E48" s="44"/>
      <c r="F48" s="45"/>
      <c r="G48" s="45"/>
      <c r="H48" s="45"/>
      <c r="I48" s="45"/>
      <c r="J48" s="28"/>
    </row>
    <row r="49" customFormat="false" ht="15" hidden="false" customHeight="false" outlineLevel="0" collapsed="false">
      <c r="A49" s="43"/>
      <c r="B49" s="15"/>
      <c r="C49" s="15"/>
      <c r="D49" s="29"/>
      <c r="E49" s="44"/>
      <c r="F49" s="45"/>
      <c r="G49" s="45"/>
      <c r="H49" s="45"/>
      <c r="I49" s="45"/>
      <c r="J49" s="28"/>
    </row>
    <row r="50" customFormat="false" ht="15" hidden="false" customHeight="false" outlineLevel="0" collapsed="false">
      <c r="A50" s="43"/>
      <c r="B50" s="15"/>
      <c r="C50" s="15"/>
      <c r="D50" s="29"/>
      <c r="E50" s="44"/>
      <c r="F50" s="45"/>
      <c r="G50" s="45"/>
      <c r="H50" s="45"/>
      <c r="I50" s="45"/>
      <c r="J50" s="28"/>
    </row>
    <row r="51" customFormat="false" ht="15" hidden="false" customHeight="false" outlineLevel="0" collapsed="false">
      <c r="A51" s="43"/>
      <c r="B51" s="15"/>
      <c r="C51" s="15"/>
      <c r="D51" s="29"/>
      <c r="E51" s="44"/>
      <c r="F51" s="45"/>
      <c r="G51" s="45"/>
      <c r="H51" s="45"/>
      <c r="I51" s="45"/>
      <c r="J51" s="28"/>
    </row>
    <row r="52" customFormat="false" ht="15" hidden="false" customHeight="false" outlineLevel="0" collapsed="false">
      <c r="A52" s="43"/>
      <c r="B52" s="15"/>
      <c r="C52" s="15"/>
      <c r="D52" s="29"/>
      <c r="E52" s="44"/>
      <c r="F52" s="45"/>
      <c r="G52" s="45"/>
      <c r="H52" s="45"/>
      <c r="I52" s="45"/>
      <c r="J52" s="28"/>
    </row>
    <row r="53" customFormat="false" ht="15" hidden="false" customHeight="false" outlineLevel="0" collapsed="false">
      <c r="A53" s="43"/>
      <c r="B53" s="15"/>
      <c r="C53" s="15"/>
      <c r="D53" s="29"/>
      <c r="E53" s="44"/>
      <c r="F53" s="45"/>
      <c r="G53" s="45"/>
      <c r="H53" s="45"/>
      <c r="I53" s="45"/>
      <c r="J53" s="28"/>
    </row>
    <row r="54" customFormat="false" ht="15" hidden="false" customHeight="false" outlineLevel="0" collapsed="false">
      <c r="A54" s="43"/>
      <c r="B54" s="15"/>
      <c r="C54" s="15"/>
      <c r="D54" s="29"/>
      <c r="E54" s="44"/>
      <c r="F54" s="45"/>
      <c r="G54" s="45"/>
      <c r="H54" s="45"/>
      <c r="I54" s="45"/>
      <c r="J54" s="28"/>
    </row>
    <row r="55" customFormat="false" ht="15" hidden="false" customHeight="false" outlineLevel="0" collapsed="false">
      <c r="A55" s="43"/>
      <c r="B55" s="15"/>
      <c r="C55" s="15"/>
      <c r="D55" s="29"/>
      <c r="E55" s="44"/>
      <c r="F55" s="45"/>
      <c r="G55" s="45"/>
      <c r="H55" s="45"/>
      <c r="I55" s="45"/>
      <c r="J55" s="28"/>
    </row>
    <row r="56" customFormat="false" ht="15" hidden="false" customHeight="false" outlineLevel="0" collapsed="false">
      <c r="A56" s="43"/>
      <c r="B56" s="15"/>
      <c r="C56" s="15"/>
      <c r="D56" s="29"/>
      <c r="E56" s="44"/>
      <c r="F56" s="45"/>
      <c r="G56" s="45"/>
      <c r="H56" s="45"/>
      <c r="I56" s="45"/>
      <c r="J56" s="2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94</v>
      </c>
      <c r="B3" s="4" t="s">
        <v>95</v>
      </c>
      <c r="C3" s="4" t="s">
        <v>15</v>
      </c>
      <c r="D3" s="4" t="s">
        <v>111</v>
      </c>
      <c r="E3" s="4" t="s">
        <v>117</v>
      </c>
      <c r="F3" s="4" t="s">
        <v>51</v>
      </c>
      <c r="G3" s="4" t="s">
        <v>118</v>
      </c>
    </row>
    <row r="4" customFormat="false" ht="15" hidden="false" customHeight="false" outlineLevel="0" collapsed="false">
      <c r="A4" s="28"/>
      <c r="B4" s="28"/>
      <c r="C4" s="28"/>
      <c r="D4" s="44"/>
      <c r="E4" s="29"/>
      <c r="F4" s="28"/>
      <c r="G4" s="28"/>
    </row>
    <row r="5" customFormat="false" ht="15" hidden="false" customHeight="false" outlineLevel="0" collapsed="false">
      <c r="A5" s="28"/>
      <c r="B5" s="28"/>
      <c r="C5" s="28"/>
      <c r="D5" s="44"/>
      <c r="E5" s="29"/>
      <c r="F5" s="28"/>
      <c r="G5" s="28"/>
    </row>
    <row r="6" customFormat="false" ht="15" hidden="false" customHeight="false" outlineLevel="0" collapsed="false">
      <c r="A6" s="28"/>
      <c r="B6" s="28"/>
      <c r="C6" s="28"/>
      <c r="D6" s="44"/>
      <c r="E6" s="29"/>
      <c r="F6" s="28"/>
      <c r="G6" s="28"/>
    </row>
    <row r="7" customFormat="false" ht="15" hidden="false" customHeight="false" outlineLevel="0" collapsed="false">
      <c r="A7" s="28"/>
      <c r="B7" s="28"/>
      <c r="C7" s="28"/>
      <c r="D7" s="44"/>
      <c r="E7" s="29"/>
      <c r="F7" s="28"/>
      <c r="G7" s="28"/>
    </row>
    <row r="8" customFormat="false" ht="15" hidden="false" customHeight="false" outlineLevel="0" collapsed="false">
      <c r="A8" s="28"/>
      <c r="B8" s="28"/>
      <c r="C8" s="28"/>
      <c r="D8" s="44"/>
      <c r="E8" s="29"/>
      <c r="F8" s="28"/>
      <c r="G8" s="28"/>
    </row>
    <row r="9" customFormat="false" ht="15" hidden="false" customHeight="false" outlineLevel="0" collapsed="false">
      <c r="A9" s="28"/>
      <c r="B9" s="28"/>
      <c r="C9" s="28"/>
      <c r="D9" s="44"/>
      <c r="E9" s="29"/>
      <c r="F9" s="28"/>
      <c r="G9" s="28"/>
    </row>
    <row r="10" customFormat="false" ht="15" hidden="false" customHeight="false" outlineLevel="0" collapsed="false">
      <c r="A10" s="28"/>
      <c r="B10" s="28"/>
      <c r="C10" s="28"/>
      <c r="D10" s="44"/>
      <c r="E10" s="29"/>
      <c r="F10" s="28"/>
      <c r="G10" s="28"/>
    </row>
    <row r="11" customFormat="false" ht="15" hidden="false" customHeight="false" outlineLevel="0" collapsed="false">
      <c r="A11" s="28"/>
      <c r="B11" s="28"/>
      <c r="C11" s="28"/>
      <c r="D11" s="44"/>
      <c r="E11" s="29"/>
      <c r="F11" s="28"/>
      <c r="G11" s="28"/>
    </row>
    <row r="12" customFormat="false" ht="15" hidden="false" customHeight="false" outlineLevel="0" collapsed="false">
      <c r="A12" s="28"/>
      <c r="B12" s="28"/>
      <c r="C12" s="28"/>
      <c r="D12" s="44"/>
      <c r="E12" s="29"/>
      <c r="F12" s="28"/>
      <c r="G12" s="28"/>
    </row>
    <row r="13" customFormat="false" ht="15" hidden="false" customHeight="false" outlineLevel="0" collapsed="false">
      <c r="A13" s="28"/>
      <c r="B13" s="28"/>
      <c r="C13" s="28"/>
      <c r="D13" s="44"/>
      <c r="E13" s="29"/>
      <c r="F13" s="28"/>
      <c r="G13" s="28"/>
    </row>
    <row r="14" customFormat="false" ht="15" hidden="false" customHeight="false" outlineLevel="0" collapsed="false">
      <c r="A14" s="28"/>
      <c r="B14" s="28"/>
      <c r="C14" s="28"/>
      <c r="D14" s="44"/>
      <c r="E14" s="29"/>
      <c r="F14" s="28"/>
      <c r="G14" s="28"/>
    </row>
    <row r="15" customFormat="false" ht="15" hidden="false" customHeight="false" outlineLevel="0" collapsed="false">
      <c r="A15" s="28"/>
      <c r="B15" s="28"/>
      <c r="C15" s="28"/>
      <c r="D15" s="44"/>
      <c r="E15" s="29"/>
      <c r="F15" s="28"/>
      <c r="G15" s="28"/>
    </row>
    <row r="16" customFormat="false" ht="15" hidden="false" customHeight="false" outlineLevel="0" collapsed="false">
      <c r="A16" s="28"/>
      <c r="B16" s="28"/>
      <c r="C16" s="28"/>
      <c r="D16" s="44"/>
      <c r="E16" s="29"/>
      <c r="F16" s="28"/>
      <c r="G16" s="28"/>
    </row>
    <row r="17" customFormat="false" ht="15" hidden="false" customHeight="false" outlineLevel="0" collapsed="false">
      <c r="A17" s="28"/>
      <c r="B17" s="28"/>
      <c r="C17" s="28"/>
      <c r="D17" s="44"/>
      <c r="E17" s="29"/>
      <c r="F17" s="28"/>
      <c r="G17" s="28"/>
    </row>
    <row r="18" customFormat="false" ht="15" hidden="false" customHeight="false" outlineLevel="0" collapsed="false">
      <c r="A18" s="28"/>
      <c r="B18" s="28"/>
      <c r="C18" s="28"/>
      <c r="D18" s="44"/>
      <c r="E18" s="29"/>
      <c r="F18" s="28"/>
      <c r="G18" s="28"/>
    </row>
    <row r="19" customFormat="false" ht="15" hidden="false" customHeight="false" outlineLevel="0" collapsed="false">
      <c r="A19" s="28"/>
      <c r="B19" s="28"/>
      <c r="C19" s="28"/>
      <c r="D19" s="44"/>
      <c r="E19" s="29"/>
      <c r="F19" s="28"/>
      <c r="G19" s="28"/>
    </row>
    <row r="20" customFormat="false" ht="15" hidden="false" customHeight="false" outlineLevel="0" collapsed="false">
      <c r="A20" s="28"/>
      <c r="B20" s="28"/>
      <c r="C20" s="28"/>
      <c r="D20" s="44"/>
      <c r="E20" s="29"/>
      <c r="F20" s="28"/>
      <c r="G20" s="28"/>
    </row>
    <row r="21" customFormat="false" ht="15" hidden="false" customHeight="false" outlineLevel="0" collapsed="false">
      <c r="A21" s="28"/>
      <c r="B21" s="28"/>
      <c r="C21" s="28"/>
      <c r="D21" s="44"/>
      <c r="E21" s="29"/>
      <c r="F21" s="28"/>
      <c r="G21" s="28"/>
    </row>
    <row r="22" customFormat="false" ht="15" hidden="false" customHeight="false" outlineLevel="0" collapsed="false">
      <c r="A22" s="28"/>
      <c r="B22" s="28"/>
      <c r="C22" s="28"/>
      <c r="D22" s="44"/>
      <c r="E22" s="29"/>
      <c r="F22" s="28"/>
      <c r="G22" s="28"/>
    </row>
    <row r="23" customFormat="false" ht="15" hidden="false" customHeight="false" outlineLevel="0" collapsed="false">
      <c r="A23" s="28"/>
      <c r="B23" s="28"/>
      <c r="C23" s="28"/>
      <c r="D23" s="44"/>
      <c r="E23" s="29"/>
      <c r="F23" s="28"/>
      <c r="G23" s="2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2026-03-30T20:25:27Z</dcterms:created>
  <dc:creator>openpyxl</dc:creator>
  <dc:description/>
  <dc:language>en-US</dc:language>
  <cp:lastModifiedBy/>
  <dcterms:modified xsi:type="dcterms:W3CDTF">2026-03-30T20:25:27Z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